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f5c3454e8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92130677a37f4a25"/>
    <x:sheet xmlns:r="http://schemas.openxmlformats.org/officeDocument/2006/relationships" name="India" sheetId="2" r:id="R7a1a8151955c4686"/>
    <x:sheet xmlns:r="http://schemas.openxmlformats.org/officeDocument/2006/relationships" name="Sources" sheetId="3" r:id="R18e29a3d3eef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4">
    <x:font>
      <x:sz val="11"/>
      <x:name val="Carlito"/>
    </x:font>
    <x:font>
      <x:sz val="11"/>
      <x:color rgb="FF18303D"/>
      <x:name val="Arial"/>
    </x:font>
    <x:font>
      <x:b/>
      <x:sz val="16"/>
      <x:color rgb="FF16374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1CF"/>
      </x:patternFill>
    </x:fill>
    <x:fill>
      <x:patternFill patternType="solid">
        <x:fgColor rgb="FF203D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83a8fb7a9547bc" /><Relationship Type="http://schemas.openxmlformats.org/officeDocument/2006/relationships/theme" Target="/xl/theme/theme1.xml" Id="Rfd06d2957fb5418f" /><Relationship Type="http://schemas.openxmlformats.org/officeDocument/2006/relationships/sharedStrings" Target="/xl/sharedStrings.xml" Id="R38bee7c35f054351" /><Relationship Type="http://schemas.openxmlformats.org/officeDocument/2006/relationships/worksheet" Target="/xl/worksheets/sheet1.xml" Id="R92130677a37f4a25" /><Relationship Type="http://schemas.openxmlformats.org/officeDocument/2006/relationships/worksheet" Target="/xl/worksheets/sheet2.xml" Id="R7a1a8151955c4686" /><Relationship Type="http://schemas.openxmlformats.org/officeDocument/2006/relationships/worksheet" Target="/xl/worksheets/sheet3.xml" Id="R18e29a3d3eef40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8" hidden="0" customWidth="1"/>
    <x:col min="4" max="4" width="3" hidden="0" customWidth="1"/>
    <x:col min="5" max="5" width="24" hidden="0" customWidth="1"/>
    <x:col min="6" max="6" width="18" hidden="0" customWidth="1"/>
    <x:col min="7" max="7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3" customHeight="1">
      <x:c r="A2" s="2" t="str">
        <x:v>ThirstyAI operational water calculator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1" t="str">
        <x:v>Editable inputs are illustrative. Consumption only. Manufacturing excluded.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30" customHeight="1">
      <x:c r="A6" s="9" t="str">
        <x:v>Input</x:v>
      </x:c>
      <x:c r="B6" s="9" t="str">
        <x:v>Value</x:v>
      </x:c>
      <x:c r="C6" s="9" t="str">
        <x:v>Unit</x:v>
      </x:c>
      <x:c r="D6" s="1"/>
      <x:c r="E6" s="9" t="str">
        <x:v>Output</x:v>
      </x:c>
      <x:c r="F6" s="9" t="str">
        <x:v>Value</x:v>
      </x:c>
      <x:c r="G6" s="9" t="str">
        <x:v>Unit</x:v>
      </x:c>
      <x:c r="H6" s="1"/>
      <x:c r="I6" s="1"/>
      <x:c r="J6" s="1"/>
    </x:row>
    <x:row r="7" ht="23" customHeight="1">
      <x:c r="A7" s="1" t="str">
        <x:v>IT workload</x:v>
      </x:c>
      <x:c r="B7" s="4" t="n">
        <x:v>1000</x:v>
      </x:c>
      <x:c r="C7" s="1" t="str">
        <x:v>MWh</x:v>
      </x:c>
      <x:c r="D7" s="1"/>
      <x:c r="E7" s="1" t="str">
        <x:v>Facility energy</x:v>
      </x:c>
      <x:c r="F7" s="5" t="n">
        <x:f>IF(AND(COUNT($B$7:$B$11)=5,$B$7&gt;=0,$B$8&gt;=1,MIN($B$9:$B$11)&gt;=0),$B$7*$B$8,"Invalid input")</x:f>
        <x:v>1200</x:v>
      </x:c>
      <x:c r="G7" s="1" t="str">
        <x:v>MWh</x:v>
      </x:c>
      <x:c r="H7" s="1"/>
      <x:c r="I7" s="1"/>
      <x:c r="J7" s="1"/>
    </x:row>
    <x:row r="8" ht="23" customHeight="1">
      <x:c r="A8" s="1" t="str">
        <x:v>PUE</x:v>
      </x:c>
      <x:c r="B8" s="4" t="n">
        <x:v>1.2</x:v>
      </x:c>
      <x:c r="C8" s="1" t="str">
        <x:v>facility kWh / IT kWh</x:v>
      </x:c>
      <x:c r="D8" s="1"/>
      <x:c r="E8" s="1" t="str">
        <x:v>Direct consumption</x:v>
      </x:c>
      <x:c r="F8" s="5" t="n">
        <x:f>IF(AND(COUNT($B$7:$B$11)=5,$B$7&gt;=0,$B$8&gt;=1,MIN($B$9:$B$11)&gt;=0),$B$7*1000*$B$9,"Invalid input")</x:f>
        <x:v>1000000</x:v>
      </x:c>
      <x:c r="G8" s="1" t="str">
        <x:v>L</x:v>
      </x:c>
      <x:c r="H8" s="1"/>
      <x:c r="I8" s="1"/>
      <x:c r="J8" s="1"/>
    </x:row>
    <x:row r="9" ht="23" customHeight="1">
      <x:c r="A9" s="1" t="str">
        <x:v>Direct consumptive WUE</x:v>
      </x:c>
      <x:c r="B9" s="4" t="n">
        <x:v>1</x:v>
      </x:c>
      <x:c r="C9" s="1" t="str">
        <x:v>L / IT kWh</x:v>
      </x:c>
      <x:c r="D9" s="1"/>
      <x:c r="E9" s="1" t="str">
        <x:v>Indirect consumption</x:v>
      </x:c>
      <x:c r="F9" s="5" t="n">
        <x:f>IF(AND(COUNT($B$7:$B$11)=5,$B$7&gt;=0,$B$8&gt;=1,MIN($B$9:$B$11)&gt;=0),$F$7*1000*$B$10,"Invalid input")</x:f>
        <x:v>1200000</x:v>
      </x:c>
      <x:c r="G9" s="1" t="str">
        <x:v>L</x:v>
      </x:c>
      <x:c r="H9" s="1"/>
      <x:c r="I9" s="1"/>
      <x:c r="J9" s="1"/>
    </x:row>
    <x:row r="10" ht="23" customHeight="1">
      <x:c r="A10" s="1" t="str">
        <x:v>Grid water factor</x:v>
      </x:c>
      <x:c r="B10" s="4" t="n">
        <x:v>1</x:v>
      </x:c>
      <x:c r="C10" s="1" t="str">
        <x:v>L / facility kWh</x:v>
      </x:c>
      <x:c r="D10" s="1"/>
      <x:c r="E10" s="1" t="str">
        <x:v>Total consumption</x:v>
      </x:c>
      <x:c r="F10" s="5" t="n">
        <x:f>IF(AND(COUNT($B$7:$B$11)=5,$B$7&gt;=0,$B$8&gt;=1,MIN($B$9:$B$11)&gt;=0),$F$8+$F$9,"Invalid input")</x:f>
        <x:v>2200000</x:v>
      </x:c>
      <x:c r="G10" s="1" t="str">
        <x:v>L</x:v>
      </x:c>
      <x:c r="H10" s="1"/>
      <x:c r="I10" s="1"/>
      <x:c r="J10" s="1"/>
    </x:row>
    <x:row r="11" ht="23" customHeight="1">
      <x:c r="A11" s="1" t="str">
        <x:v>Grid carbon factor</x:v>
      </x:c>
      <x:c r="B11" s="4" t="n">
        <x:v>0.4</x:v>
      </x:c>
      <x:c r="C11" s="1" t="str">
        <x:v>kg CO2e / facility kWh</x:v>
      </x:c>
      <x:c r="D11" s="1"/>
      <x:c r="E11" s="1" t="str">
        <x:v>Operational carbon</x:v>
      </x:c>
      <x:c r="F11" s="5" t="n">
        <x:f>IF(AND(COUNT($B$7:$B$11)=5,$B$7&gt;=0,$B$8&gt;=1,MIN($B$9:$B$11)&gt;=0),$F$7*1000*$B$11,"Invalid input")</x:f>
        <x:v>480000</x:v>
      </x:c>
      <x:c r="G11" s="1" t="str">
        <x:v>kg CO2e</x:v>
      </x:c>
      <x:c r="H11" s="1"/>
      <x:c r="I11" s="1"/>
      <x:c r="J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3" customHeight="1">
      <x:c r="A14" s="1" t="str">
        <x:v>Method: facility energy = IT energy × PUE; direct water = IT kWh × WUE.</x:v>
      </x:c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3" customHeight="1">
      <x:c r="A15" s="1" t="str">
        <x:v>Indirect water = facility kWh × grid water factor. Volumes may arise in different basins.</x:v>
      </x:c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3" customHeight="1">
      <x:c r="A17" s="1" t="str">
        <x:v>Do not substitute withdrawal WUE or factors already including indirect water.</x:v>
      </x:c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23" customHeight="1">
      <x:c r="A18" s="1" t="str">
        <x:v>Inputs have no empirical source: user-selected assumptions for exploration.</x:v>
      </x:c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23" customHeight="1">
      <x:c r="A19" s="1" t="str">
        <x:v>Use the web decision lab for simultaneous baseline/alternative and future scenarios.</x:v>
      </x:c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2" hidden="0" customWidth="1"/>
    <x:col min="2" max="2" width="24" hidden="0" customWidth="1"/>
    <x:col min="3" max="3" width="24" hidden="0" customWidth="1"/>
    <x:col min="4" max="4" width="24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3" customHeight="1">
      <x:c r="A2" s="2" t="str">
        <x:v>India groundwater assessment 2025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3" customHeight="1">
      <x:c r="A3" s="1" t="str">
        <x:v>Source: CGWB / PIB, 18 Dec 2025, Annexure I. Annual flows, all uses.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1" t="str">
        <x:v>Stage is reported, not recalculated from rounded volumes. This is not AI-attributed extraction.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30" customHeight="1">
      <x:c r="A6" s="9" t="str">
        <x:v>State / UT</x:v>
      </x:c>
      <x:c r="B6" s="9" t="str">
        <x:v>Recharge BCM/year</x:v>
      </x:c>
      <x:c r="C6" s="9" t="str">
        <x:v>Extractable BCM/year</x:v>
      </x:c>
      <x:c r="D6" s="9" t="str">
        <x:v>Extraction BCM/year</x:v>
      </x:c>
      <x:c r="E6" s="9" t="str">
        <x:v>Stage (%)</x:v>
      </x:c>
      <x:c r="F6" s="9" t="str">
        <x:v>Year</x:v>
      </x:c>
      <x:c r="G6" s="9" t="str">
        <x:v>Source ID</x:v>
      </x:c>
      <x:c r="H6" s="1"/>
      <x:c r="I6" s="1"/>
      <x:c r="J6" s="1"/>
    </x:row>
    <x:row r="7" ht="23" customHeight="1">
      <x:c r="A7" s="1" t="str">
        <x:v>Andhra Pradesh</x:v>
      </x:c>
      <x:c r="B7" s="5" t="n">
        <x:v>26.34</x:v>
      </x:c>
      <x:c r="C7" s="5" t="n">
        <x:v>25.02</x:v>
      </x:c>
      <x:c r="D7" s="5" t="n">
        <x:v>7.88</x:v>
      </x:c>
      <x:c r="E7" s="5" t="n">
        <x:v>31.51</x:v>
      </x:c>
      <x:c r="F7" s="6" t="n">
        <x:v>2025</x:v>
      </x:c>
      <x:c r="G7" s="1" t="str">
        <x:v>CGWB25</x:v>
      </x:c>
      <x:c r="H7" s="1"/>
      <x:c r="I7" s="1"/>
      <x:c r="J7" s="1"/>
    </x:row>
    <x:row r="8" ht="23" customHeight="1">
      <x:c r="A8" s="1" t="str">
        <x:v>Arunachal Pradesh</x:v>
      </x:c>
      <x:c r="B8" s="5" t="n">
        <x:v>3.69</x:v>
      </x:c>
      <x:c r="C8" s="5" t="n">
        <x:v>3.29</x:v>
      </x:c>
      <x:c r="D8" s="5" t="n">
        <x:v>0.01</x:v>
      </x:c>
      <x:c r="E8" s="5" t="n">
        <x:v>0.41</x:v>
      </x:c>
      <x:c r="F8" s="6" t="n">
        <x:v>2025</x:v>
      </x:c>
      <x:c r="G8" s="1" t="str">
        <x:v>CGWB25</x:v>
      </x:c>
      <x:c r="H8" s="1"/>
      <x:c r="I8" s="1"/>
      <x:c r="J8" s="1"/>
    </x:row>
    <x:row r="9" ht="23" customHeight="1">
      <x:c r="A9" s="1" t="str">
        <x:v>Assam</x:v>
      </x:c>
      <x:c r="B9" s="5" t="n">
        <x:v>26.36</x:v>
      </x:c>
      <x:c r="C9" s="5" t="n">
        <x:v>20.29</x:v>
      </x:c>
      <x:c r="D9" s="5" t="n">
        <x:v>2.93</x:v>
      </x:c>
      <x:c r="E9" s="5" t="n">
        <x:v>14.45</x:v>
      </x:c>
      <x:c r="F9" s="6" t="n">
        <x:v>2025</x:v>
      </x:c>
      <x:c r="G9" s="1" t="str">
        <x:v>CGWB25</x:v>
      </x:c>
      <x:c r="H9" s="1"/>
      <x:c r="I9" s="1"/>
      <x:c r="J9" s="1"/>
    </x:row>
    <x:row r="10" ht="23" customHeight="1">
      <x:c r="A10" s="1" t="str">
        <x:v>Bihar</x:v>
      </x:c>
      <x:c r="B10" s="5" t="n">
        <x:v>34.51</x:v>
      </x:c>
      <x:c r="C10" s="5" t="n">
        <x:v>31.32</x:v>
      </x:c>
      <x:c r="D10" s="5" t="n">
        <x:v>14.47</x:v>
      </x:c>
      <x:c r="E10" s="5" t="n">
        <x:v>46.2</x:v>
      </x:c>
      <x:c r="F10" s="6" t="n">
        <x:v>2025</x:v>
      </x:c>
      <x:c r="G10" s="1" t="str">
        <x:v>CGWB25</x:v>
      </x:c>
      <x:c r="H10" s="1"/>
      <x:c r="I10" s="1"/>
      <x:c r="J10" s="1"/>
    </x:row>
    <x:row r="11" ht="23" customHeight="1">
      <x:c r="A11" s="1" t="str">
        <x:v>Chhattisgarh</x:v>
      </x:c>
      <x:c r="B11" s="5" t="n">
        <x:v>14.3</x:v>
      </x:c>
      <x:c r="C11" s="5" t="n">
        <x:v>13.07</x:v>
      </x:c>
      <x:c r="D11" s="5" t="n">
        <x:v>6.3</x:v>
      </x:c>
      <x:c r="E11" s="5" t="n">
        <x:v>48.18</x:v>
      </x:c>
      <x:c r="F11" s="6" t="n">
        <x:v>2025</x:v>
      </x:c>
      <x:c r="G11" s="1" t="str">
        <x:v>CGWB25</x:v>
      </x:c>
      <x:c r="H11" s="1"/>
      <x:c r="I11" s="1"/>
      <x:c r="J11" s="1"/>
    </x:row>
    <x:row r="12" ht="23" customHeight="1">
      <x:c r="A12" s="1" t="str">
        <x:v>Goa</x:v>
      </x:c>
      <x:c r="B12" s="5" t="n">
        <x:v>0.38</x:v>
      </x:c>
      <x:c r="C12" s="5" t="n">
        <x:v>0.31</x:v>
      </x:c>
      <x:c r="D12" s="5" t="n">
        <x:v>0.07</x:v>
      </x:c>
      <x:c r="E12" s="5" t="n">
        <x:v>23.3</x:v>
      </x:c>
      <x:c r="F12" s="6" t="n">
        <x:v>2025</x:v>
      </x:c>
      <x:c r="G12" s="1" t="str">
        <x:v>CGWB25</x:v>
      </x:c>
      <x:c r="H12" s="1"/>
      <x:c r="I12" s="1"/>
      <x:c r="J12" s="1"/>
    </x:row>
    <x:row r="13" ht="23" customHeight="1">
      <x:c r="A13" s="1" t="str">
        <x:v>Gujarat</x:v>
      </x:c>
      <x:c r="B13" s="5" t="n">
        <x:v>27.58</x:v>
      </x:c>
      <x:c r="C13" s="5" t="n">
        <x:v>25.61</x:v>
      </x:c>
      <x:c r="D13" s="5" t="n">
        <x:v>14.33</x:v>
      </x:c>
      <x:c r="E13" s="5" t="n">
        <x:v>55.95</x:v>
      </x:c>
      <x:c r="F13" s="6" t="n">
        <x:v>2025</x:v>
      </x:c>
      <x:c r="G13" s="1" t="str">
        <x:v>CGWB25</x:v>
      </x:c>
      <x:c r="H13" s="1"/>
      <x:c r="I13" s="1"/>
      <x:c r="J13" s="1"/>
    </x:row>
    <x:row r="14" ht="23" customHeight="1">
      <x:c r="A14" s="1" t="str">
        <x:v>Haryana</x:v>
      </x:c>
      <x:c r="B14" s="5" t="n">
        <x:v>10.27</x:v>
      </x:c>
      <x:c r="C14" s="5" t="n">
        <x:v>9.3</x:v>
      </x:c>
      <x:c r="D14" s="5" t="n">
        <x:v>12.72</x:v>
      </x:c>
      <x:c r="E14" s="5" t="n">
        <x:v>136.75</x:v>
      </x:c>
      <x:c r="F14" s="6" t="n">
        <x:v>2025</x:v>
      </x:c>
      <x:c r="G14" s="1" t="str">
        <x:v>CGWB25</x:v>
      </x:c>
      <x:c r="H14" s="1"/>
      <x:c r="I14" s="1"/>
      <x:c r="J14" s="1"/>
    </x:row>
    <x:row r="15" ht="23" customHeight="1">
      <x:c r="A15" s="1" t="str">
        <x:v>Himachal Pradesh</x:v>
      </x:c>
      <x:c r="B15" s="5" t="n">
        <x:v>1.12</x:v>
      </x:c>
      <x:c r="C15" s="5" t="n">
        <x:v>1.01</x:v>
      </x:c>
      <x:c r="D15" s="5" t="n">
        <x:v>0.39</x:v>
      </x:c>
      <x:c r="E15" s="5" t="n">
        <x:v>38.5</x:v>
      </x:c>
      <x:c r="F15" s="6" t="n">
        <x:v>2025</x:v>
      </x:c>
      <x:c r="G15" s="1" t="str">
        <x:v>CGWB25</x:v>
      </x:c>
      <x:c r="H15" s="1"/>
      <x:c r="I15" s="1"/>
      <x:c r="J15" s="1"/>
    </x:row>
    <x:row r="16" ht="23" customHeight="1">
      <x:c r="A16" s="1" t="str">
        <x:v>Jharkhand</x:v>
      </x:c>
      <x:c r="B16" s="5" t="n">
        <x:v>6.15</x:v>
      </x:c>
      <x:c r="C16" s="5" t="n">
        <x:v>5.63</x:v>
      </x:c>
      <x:c r="D16" s="5" t="n">
        <x:v>1.85</x:v>
      </x:c>
      <x:c r="E16" s="5" t="n">
        <x:v>32.89</x:v>
      </x:c>
      <x:c r="F16" s="6" t="n">
        <x:v>2025</x:v>
      </x:c>
      <x:c r="G16" s="1" t="str">
        <x:v>CGWB25</x:v>
      </x:c>
      <x:c r="H16" s="1"/>
      <x:c r="I16" s="1"/>
      <x:c r="J16" s="1"/>
    </x:row>
    <x:row r="17" ht="23" customHeight="1">
      <x:c r="A17" s="1" t="str">
        <x:v>Karnataka</x:v>
      </x:c>
      <x:c r="B17" s="5" t="n">
        <x:v>19.27</x:v>
      </x:c>
      <x:c r="C17" s="5" t="n">
        <x:v>17.41</x:v>
      </x:c>
      <x:c r="D17" s="5" t="n">
        <x:v>11.58</x:v>
      </x:c>
      <x:c r="E17" s="5" t="n">
        <x:v>66.49</x:v>
      </x:c>
      <x:c r="F17" s="6" t="n">
        <x:v>2025</x:v>
      </x:c>
      <x:c r="G17" s="1" t="str">
        <x:v>CGWB25</x:v>
      </x:c>
      <x:c r="H17" s="1"/>
      <x:c r="I17" s="1"/>
      <x:c r="J17" s="1"/>
    </x:row>
    <x:row r="18" ht="23" customHeight="1">
      <x:c r="A18" s="1" t="str">
        <x:v>Kerala</x:v>
      </x:c>
      <x:c r="B18" s="5" t="n">
        <x:v>5.45</x:v>
      </x:c>
      <x:c r="C18" s="5" t="n">
        <x:v>4.93</x:v>
      </x:c>
      <x:c r="D18" s="5" t="n">
        <x:v>2.46</x:v>
      </x:c>
      <x:c r="E18" s="5" t="n">
        <x:v>49.95</x:v>
      </x:c>
      <x:c r="F18" s="6" t="n">
        <x:v>2025</x:v>
      </x:c>
      <x:c r="G18" s="1" t="str">
        <x:v>CGWB25</x:v>
      </x:c>
      <x:c r="H18" s="1"/>
      <x:c r="I18" s="1"/>
      <x:c r="J18" s="1"/>
    </x:row>
    <x:row r="19" ht="23" customHeight="1">
      <x:c r="A19" s="1" t="str">
        <x:v>Madhya Pradesh</x:v>
      </x:c>
      <x:c r="B19" s="5" t="n">
        <x:v>36.07</x:v>
      </x:c>
      <x:c r="C19" s="5" t="n">
        <x:v>34.15</x:v>
      </x:c>
      <x:c r="D19" s="5" t="n">
        <x:v>20.26</x:v>
      </x:c>
      <x:c r="E19" s="5" t="n">
        <x:v>59.32</x:v>
      </x:c>
      <x:c r="F19" s="6" t="n">
        <x:v>2025</x:v>
      </x:c>
      <x:c r="G19" s="1" t="str">
        <x:v>CGWB25</x:v>
      </x:c>
      <x:c r="H19" s="1"/>
      <x:c r="I19" s="1"/>
      <x:c r="J19" s="1"/>
    </x:row>
    <x:row r="20" ht="23" customHeight="1">
      <x:c r="A20" s="1" t="str">
        <x:v>Maharashtra</x:v>
      </x:c>
      <x:c r="B20" s="5" t="n">
        <x:v>33.89</x:v>
      </x:c>
      <x:c r="C20" s="5" t="n">
        <x:v>31.99</x:v>
      </x:c>
      <x:c r="D20" s="5" t="n">
        <x:v>16.57</x:v>
      </x:c>
      <x:c r="E20" s="5" t="n">
        <x:v>51.79</x:v>
      </x:c>
      <x:c r="F20" s="6" t="n">
        <x:v>2025</x:v>
      </x:c>
      <x:c r="G20" s="1" t="str">
        <x:v>CGWB25</x:v>
      </x:c>
      <x:c r="H20" s="1"/>
      <x:c r="I20" s="1"/>
      <x:c r="J20" s="1"/>
    </x:row>
    <x:row r="21" ht="23" customHeight="1">
      <x:c r="A21" s="1" t="str">
        <x:v>Manipur</x:v>
      </x:c>
      <x:c r="B21" s="5" t="n">
        <x:v>0.44</x:v>
      </x:c>
      <x:c r="C21" s="5" t="n">
        <x:v>0.4</x:v>
      </x:c>
      <x:c r="D21" s="5" t="n">
        <x:v>0.04</x:v>
      </x:c>
      <x:c r="E21" s="5" t="n">
        <x:v>9.09</x:v>
      </x:c>
      <x:c r="F21" s="6" t="n">
        <x:v>2025</x:v>
      </x:c>
      <x:c r="G21" s="1" t="str">
        <x:v>CGWB25</x:v>
      </x:c>
      <x:c r="H21" s="1"/>
      <x:c r="I21" s="1"/>
      <x:c r="J21" s="1"/>
    </x:row>
    <x:row r="22" ht="23" customHeight="1">
      <x:c r="A22" s="1" t="str">
        <x:v>Meghalaya</x:v>
      </x:c>
      <x:c r="B22" s="5" t="n">
        <x:v>1.84</x:v>
      </x:c>
      <x:c r="C22" s="5" t="n">
        <x:v>1.54</x:v>
      </x:c>
      <x:c r="D22" s="5" t="n">
        <x:v>0.08</x:v>
      </x:c>
      <x:c r="E22" s="5" t="n">
        <x:v>5.24</x:v>
      </x:c>
      <x:c r="F22" s="6" t="n">
        <x:v>2025</x:v>
      </x:c>
      <x:c r="G22" s="1" t="str">
        <x:v>CGWB25</x:v>
      </x:c>
      <x:c r="H22" s="1"/>
      <x:c r="I22" s="1"/>
      <x:c r="J22" s="1"/>
    </x:row>
    <x:row r="23" ht="23" customHeight="1">
      <x:c r="A23" s="1" t="str">
        <x:v>Mizoram</x:v>
      </x:c>
      <x:c r="B23" s="5" t="n">
        <x:v>0.21</x:v>
      </x:c>
      <x:c r="C23" s="5" t="n">
        <x:v>0.19</x:v>
      </x:c>
      <x:c r="D23" s="5" t="n">
        <x:v>0.01</x:v>
      </x:c>
      <x:c r="E23" s="5" t="n">
        <x:v>4.03</x:v>
      </x:c>
      <x:c r="F23" s="6" t="n">
        <x:v>2025</x:v>
      </x:c>
      <x:c r="G23" s="1" t="str">
        <x:v>CGWB25</x:v>
      </x:c>
      <x:c r="H23" s="1"/>
      <x:c r="I23" s="1"/>
      <x:c r="J23" s="1"/>
    </x:row>
    <x:row r="24" ht="23" customHeight="1">
      <x:c r="A24" s="1" t="str">
        <x:v>Nagaland</x:v>
      </x:c>
      <x:c r="B24" s="5" t="n">
        <x:v>0.55</x:v>
      </x:c>
      <x:c r="C24" s="5" t="n">
        <x:v>0.5</x:v>
      </x:c>
      <x:c r="D24" s="5" t="n">
        <x:v>0.02</x:v>
      </x:c>
      <x:c r="E24" s="5" t="n">
        <x:v>4.72</x:v>
      </x:c>
      <x:c r="F24" s="6" t="n">
        <x:v>2025</x:v>
      </x:c>
      <x:c r="G24" s="1" t="str">
        <x:v>CGWB25</x:v>
      </x:c>
      <x:c r="H24" s="1"/>
      <x:c r="I24" s="1"/>
      <x:c r="J24" s="1"/>
    </x:row>
    <x:row r="25" ht="23" customHeight="1">
      <x:c r="A25" s="1" t="str">
        <x:v>Odisha</x:v>
      </x:c>
      <x:c r="B25" s="5" t="n">
        <x:v>17.44</x:v>
      </x:c>
      <x:c r="C25" s="5" t="n">
        <x:v>16.02</x:v>
      </x:c>
      <x:c r="D25" s="5" t="n">
        <x:v>7.81</x:v>
      </x:c>
      <x:c r="E25" s="5" t="n">
        <x:v>48.75</x:v>
      </x:c>
      <x:c r="F25" s="6" t="n">
        <x:v>2025</x:v>
      </x:c>
      <x:c r="G25" s="1" t="str">
        <x:v>CGWB25</x:v>
      </x:c>
      <x:c r="H25" s="1"/>
      <x:c r="I25" s="1"/>
      <x:c r="J25" s="1"/>
    </x:row>
    <x:row r="26" ht="23" customHeight="1">
      <x:c r="A26" s="1" t="str">
        <x:v>Punjab</x:v>
      </x:c>
      <x:c r="B26" s="5" t="n">
        <x:v>18.6</x:v>
      </x:c>
      <x:c r="C26" s="5" t="n">
        <x:v>16.8</x:v>
      </x:c>
      <x:c r="D26" s="5" t="n">
        <x:v>26.27</x:v>
      </x:c>
      <x:c r="E26" s="5" t="n">
        <x:v>156.36</x:v>
      </x:c>
      <x:c r="F26" s="6" t="n">
        <x:v>2025</x:v>
      </x:c>
      <x:c r="G26" s="1" t="str">
        <x:v>CGWB25</x:v>
      </x:c>
      <x:c r="H26" s="1"/>
      <x:c r="I26" s="1"/>
      <x:c r="J26" s="1"/>
    </x:row>
    <x:row r="27" ht="23" customHeight="1">
      <x:c r="A27" s="1" t="str">
        <x:v>Rajasthan</x:v>
      </x:c>
      <x:c r="B27" s="5" t="n">
        <x:v>12.87</x:v>
      </x:c>
      <x:c r="C27" s="5" t="n">
        <x:v>11.62</x:v>
      </x:c>
      <x:c r="D27" s="5" t="n">
        <x:v>17.1</x:v>
      </x:c>
      <x:c r="E27" s="5" t="n">
        <x:v>147.11</x:v>
      </x:c>
      <x:c r="F27" s="6" t="n">
        <x:v>2025</x:v>
      </x:c>
      <x:c r="G27" s="1" t="str">
        <x:v>CGWB25</x:v>
      </x:c>
      <x:c r="H27" s="1"/>
      <x:c r="I27" s="1"/>
      <x:c r="J27" s="1"/>
    </x:row>
    <x:row r="28" ht="23" customHeight="1">
      <x:c r="A28" s="1" t="str">
        <x:v>Sikkim</x:v>
      </x:c>
      <x:c r="B28" s="5" t="n">
        <x:v>0.24</x:v>
      </x:c>
      <x:c r="C28" s="5" t="n">
        <x:v>0.22</x:v>
      </x:c>
      <x:c r="D28" s="5" t="n">
        <x:v>0.01</x:v>
      </x:c>
      <x:c r="E28" s="5" t="n">
        <x:v>5.87</x:v>
      </x:c>
      <x:c r="F28" s="6" t="n">
        <x:v>2025</x:v>
      </x:c>
      <x:c r="G28" s="1" t="str">
        <x:v>CGWB25</x:v>
      </x:c>
      <x:c r="H28" s="1"/>
      <x:c r="I28" s="1"/>
      <x:c r="J28" s="1"/>
    </x:row>
    <x:row r="29" ht="23" customHeight="1">
      <x:c r="A29" s="1" t="str">
        <x:v>Tamil Nadu</x:v>
      </x:c>
      <x:c r="B29" s="5" t="n">
        <x:v>22.61</x:v>
      </x:c>
      <x:c r="C29" s="5" t="n">
        <x:v>20.46</x:v>
      </x:c>
      <x:c r="D29" s="5" t="n">
        <x:v>15.04</x:v>
      </x:c>
      <x:c r="E29" s="5" t="n">
        <x:v>73.5</x:v>
      </x:c>
      <x:c r="F29" s="6" t="n">
        <x:v>2025</x:v>
      </x:c>
      <x:c r="G29" s="1" t="str">
        <x:v>CGWB25</x:v>
      </x:c>
      <x:c r="H29" s="1"/>
      <x:c r="I29" s="1"/>
      <x:c r="J29" s="1"/>
    </x:row>
    <x:row r="30" ht="23" customHeight="1">
      <x:c r="A30" s="1" t="str">
        <x:v>Telangana</x:v>
      </x:c>
      <x:c r="B30" s="5" t="n">
        <x:v>21.93</x:v>
      </x:c>
      <x:c r="C30" s="5" t="n">
        <x:v>19.84</x:v>
      </x:c>
      <x:c r="D30" s="5" t="n">
        <x:v>9.26</x:v>
      </x:c>
      <x:c r="E30" s="5" t="n">
        <x:v>46.69</x:v>
      </x:c>
      <x:c r="F30" s="6" t="n">
        <x:v>2025</x:v>
      </x:c>
      <x:c r="G30" s="1" t="str">
        <x:v>CGWB25</x:v>
      </x:c>
      <x:c r="H30" s="1"/>
      <x:c r="I30" s="1"/>
      <x:c r="J30" s="1"/>
    </x:row>
    <x:row r="31" ht="23" customHeight="1">
      <x:c r="A31" s="1" t="str">
        <x:v>Tripura</x:v>
      </x:c>
      <x:c r="B31" s="5" t="n">
        <x:v>1.53</x:v>
      </x:c>
      <x:c r="C31" s="5" t="n">
        <x:v>1.24</x:v>
      </x:c>
      <x:c r="D31" s="5" t="n">
        <x:v>0.12</x:v>
      </x:c>
      <x:c r="E31" s="5" t="n">
        <x:v>10.06</x:v>
      </x:c>
      <x:c r="F31" s="6" t="n">
        <x:v>2025</x:v>
      </x:c>
      <x:c r="G31" s="1" t="str">
        <x:v>CGWB25</x:v>
      </x:c>
      <x:c r="H31" s="1"/>
      <x:c r="I31" s="1"/>
      <x:c r="J31" s="1"/>
    </x:row>
    <x:row r="32" ht="23" customHeight="1">
      <x:c r="A32" s="1" t="str">
        <x:v>Uttar Pradesh</x:v>
      </x:c>
      <x:c r="B32" s="5" t="n">
        <x:v>73.39</x:v>
      </x:c>
      <x:c r="C32" s="5" t="n">
        <x:v>66.97</x:v>
      </x:c>
      <x:c r="D32" s="5" t="n">
        <x:v>46.89</x:v>
      </x:c>
      <x:c r="E32" s="5" t="n">
        <x:v>70</x:v>
      </x:c>
      <x:c r="F32" s="6" t="n">
        <x:v>2025</x:v>
      </x:c>
      <x:c r="G32" s="1" t="str">
        <x:v>CGWB25</x:v>
      </x:c>
      <x:c r="H32" s="1"/>
      <x:c r="I32" s="1"/>
      <x:c r="J32" s="1"/>
    </x:row>
    <x:row r="33" ht="23" customHeight="1">
      <x:c r="A33" s="1" t="str">
        <x:v>Uttarakhand</x:v>
      </x:c>
      <x:c r="B33" s="5" t="n">
        <x:v>2.13</x:v>
      </x:c>
      <x:c r="C33" s="5" t="n">
        <x:v>1.95</x:v>
      </x:c>
      <x:c r="D33" s="5" t="n">
        <x:v>1.05</x:v>
      </x:c>
      <x:c r="E33" s="5" t="n">
        <x:v>53.92</x:v>
      </x:c>
      <x:c r="F33" s="6" t="n">
        <x:v>2025</x:v>
      </x:c>
      <x:c r="G33" s="1" t="str">
        <x:v>CGWB25</x:v>
      </x:c>
      <x:c r="H33" s="1"/>
      <x:c r="I33" s="1"/>
      <x:c r="J33" s="1"/>
    </x:row>
    <x:row r="34" ht="23" customHeight="1">
      <x:c r="A34" s="1" t="str">
        <x:v>West Bengal</x:v>
      </x:c>
      <x:c r="B34" s="5" t="n">
        <x:v>25.85</x:v>
      </x:c>
      <x:c r="C34" s="5" t="n">
        <x:v>23.5</x:v>
      </x:c>
      <x:c r="D34" s="5" t="n">
        <x:v>10.62</x:v>
      </x:c>
      <x:c r="E34" s="5" t="n">
        <x:v>45.19</x:v>
      </x:c>
      <x:c r="F34" s="6" t="n">
        <x:v>2025</x:v>
      </x:c>
      <x:c r="G34" s="1" t="str">
        <x:v>CGWB25</x:v>
      </x:c>
      <x:c r="H34" s="1"/>
      <x:c r="I34" s="1"/>
      <x:c r="J34" s="1"/>
    </x:row>
    <x:row r="35" ht="23" customHeight="1">
      <x:c r="A35" s="1" t="str">
        <x:v>Andaman And Nicobar</x:v>
      </x:c>
      <x:c r="B35" s="5" t="n">
        <x:v>0.38</x:v>
      </x:c>
      <x:c r="C35" s="5" t="n">
        <x:v>0.35</x:v>
      </x:c>
      <x:c r="D35" s="5" t="n">
        <x:v>0.01</x:v>
      </x:c>
      <x:c r="E35" s="5" t="n">
        <x:v>2.27</x:v>
      </x:c>
      <x:c r="F35" s="6" t="n">
        <x:v>2025</x:v>
      </x:c>
      <x:c r="G35" s="1" t="str">
        <x:v>CGWB25</x:v>
      </x:c>
      <x:c r="H35" s="1"/>
      <x:c r="I35" s="1"/>
      <x:c r="J35" s="1"/>
    </x:row>
    <x:row r="36" ht="23" customHeight="1">
      <x:c r="A36" s="1" t="str">
        <x:v>Chandigarh</x:v>
      </x:c>
      <x:c r="B36" s="5" t="n">
        <x:v>0.05</x:v>
      </x:c>
      <x:c r="C36" s="5" t="n">
        <x:v>0.05</x:v>
      </x:c>
      <x:c r="D36" s="5" t="n">
        <x:v>0.03</x:v>
      </x:c>
      <x:c r="E36" s="5" t="n">
        <x:v>67</x:v>
      </x:c>
      <x:c r="F36" s="6" t="n">
        <x:v>2025</x:v>
      </x:c>
      <x:c r="G36" s="1" t="str">
        <x:v>CGWB25</x:v>
      </x:c>
      <x:c r="H36" s="1"/>
      <x:c r="I36" s="1"/>
      <x:c r="J36" s="1"/>
    </x:row>
    <x:row r="37" ht="23" customHeight="1">
      <x:c r="A37" s="1" t="str">
        <x:v>Dadra and Nagar Haveli and Daman and Diu</x:v>
      </x:c>
      <x:c r="B37" s="5" t="n">
        <x:v>0.13</x:v>
      </x:c>
      <x:c r="C37" s="5" t="n">
        <x:v>0.12</x:v>
      </x:c>
      <x:c r="D37" s="5" t="n">
        <x:v>0.05</x:v>
      </x:c>
      <x:c r="E37" s="5" t="n">
        <x:v>40.45</x:v>
      </x:c>
      <x:c r="F37" s="6" t="n">
        <x:v>2025</x:v>
      </x:c>
      <x:c r="G37" s="1" t="str">
        <x:v>CGWB25</x:v>
      </x:c>
      <x:c r="H37" s="1"/>
      <x:c r="I37" s="1"/>
      <x:c r="J37" s="1"/>
    </x:row>
    <x:row r="38" ht="23" customHeight="1">
      <x:c r="A38" s="1" t="str">
        <x:v>Delhi</x:v>
      </x:c>
      <x:c r="B38" s="5" t="n">
        <x:v>0.38</x:v>
      </x:c>
      <x:c r="C38" s="5" t="n">
        <x:v>0.35</x:v>
      </x:c>
      <x:c r="D38" s="5" t="n">
        <x:v>0.32</x:v>
      </x:c>
      <x:c r="E38" s="5" t="n">
        <x:v>92.1</x:v>
      </x:c>
      <x:c r="F38" s="6" t="n">
        <x:v>2025</x:v>
      </x:c>
      <x:c r="G38" s="1" t="str">
        <x:v>CGWB25</x:v>
      </x:c>
      <x:c r="H38" s="1"/>
      <x:c r="I38" s="1"/>
      <x:c r="J38" s="1"/>
    </x:row>
    <x:row r="39" ht="23" customHeight="1">
      <x:c r="A39" s="1" t="str">
        <x:v>Jammu And Kashmir</x:v>
      </x:c>
      <x:c r="B39" s="5" t="n">
        <x:v>2.3</x:v>
      </x:c>
      <x:c r="C39" s="5" t="n">
        <x:v>2.07</x:v>
      </x:c>
      <x:c r="D39" s="5" t="n">
        <x:v>0.51</x:v>
      </x:c>
      <x:c r="E39" s="5" t="n">
        <x:v>24.73</x:v>
      </x:c>
      <x:c r="F39" s="6" t="n">
        <x:v>2025</x:v>
      </x:c>
      <x:c r="G39" s="1" t="str">
        <x:v>CGWB25</x:v>
      </x:c>
      <x:c r="H39" s="1"/>
      <x:c r="I39" s="1"/>
      <x:c r="J39" s="1"/>
    </x:row>
    <x:row r="40" ht="23" customHeight="1">
      <x:c r="A40" s="1" t="str">
        <x:v>Ladakh</x:v>
      </x:c>
      <x:c r="B40" s="5" t="n">
        <x:v>0.07</x:v>
      </x:c>
      <x:c r="C40" s="5" t="n">
        <x:v>0.06</x:v>
      </x:c>
      <x:c r="D40" s="5" t="n">
        <x:v>0.02</x:v>
      </x:c>
      <x:c r="E40" s="5" t="n">
        <x:v>30.93</x:v>
      </x:c>
      <x:c r="F40" s="6" t="n">
        <x:v>2025</x:v>
      </x:c>
      <x:c r="G40" s="1" t="str">
        <x:v>CGWB25</x:v>
      </x:c>
      <x:c r="H40" s="1"/>
      <x:c r="I40" s="1"/>
      <x:c r="J40" s="1"/>
    </x:row>
    <x:row r="41" ht="23" customHeight="1">
      <x:c r="A41" s="1" t="str">
        <x:v>Lakshadweep</x:v>
      </x:c>
      <x:c r="B41" s="5" t="n">
        <x:v>0.01</x:v>
      </x:c>
      <x:c r="C41" s="5" t="n">
        <x:v>0.01</x:v>
      </x:c>
      <x:c r="D41" s="5" t="n">
        <x:v>0</x:v>
      </x:c>
      <x:c r="E41" s="5" t="n">
        <x:v>57.79</x:v>
      </x:c>
      <x:c r="F41" s="6" t="n">
        <x:v>2025</x:v>
      </x:c>
      <x:c r="G41" s="1" t="str">
        <x:v>CGWB25</x:v>
      </x:c>
      <x:c r="H41" s="1"/>
      <x:c r="I41" s="1"/>
      <x:c r="J41" s="1"/>
    </x:row>
    <x:row r="42" ht="23" customHeight="1">
      <x:c r="A42" s="1" t="str">
        <x:v>Puducherry</x:v>
      </x:c>
      <x:c r="B42" s="5" t="n">
        <x:v>0.19</x:v>
      </x:c>
      <x:c r="C42" s="5" t="n">
        <x:v>0.17</x:v>
      </x:c>
      <x:c r="D42" s="5" t="n">
        <x:v>0.13</x:v>
      </x:c>
      <x:c r="E42" s="5" t="n">
        <x:v>75.98</x:v>
      </x:c>
      <x:c r="F42" s="6" t="n">
        <x:v>2025</x:v>
      </x:c>
      <x:c r="G42" s="1" t="str">
        <x:v>CGWB25</x:v>
      </x:c>
      <x:c r="H42" s="1"/>
      <x:c r="I42" s="1"/>
      <x:c r="J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9" hidden="0" customWidth="1"/>
    <x:col min="3" max="3" width="65" hidden="0" customWidth="1"/>
    <x:col min="4" max="4" width="6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3" customHeight="1">
      <x:c r="A2" s="2" t="str">
        <x:v>Primary source register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9" t="str">
        <x:v>ID</x:v>
      </x:c>
      <x:c r="B5" s="9" t="str">
        <x:v>Publisher</x:v>
      </x:c>
      <x:c r="C5" s="9" t="str">
        <x:v>URL</x:v>
      </x:c>
      <x:c r="D5" s="9" t="str">
        <x:v>Locator</x:v>
      </x:c>
      <x:c r="E5" s="1"/>
      <x:c r="F5" s="1"/>
      <x:c r="G5" s="1"/>
      <x:c r="H5" s="1"/>
      <x:c r="I5" s="1"/>
      <x:c r="J5" s="1"/>
    </x:row>
    <x:row r="6" ht="62" customHeight="1">
      <x:c r="A6" s="1" t="str">
        <x:v>IEA26</x:v>
      </x:c>
      <x:c r="B6" s="1" t="str">
        <x:v>International Energy Agency</x:v>
      </x:c>
      <x:c r="C6" s="7" t="str">
        <x:v>https://www.iea.org/reports/key-questions-on-energy-and-ai/executive-summary</x:v>
      </x:c>
      <x:c r="D6" s="7" t="str">
        <x:v>Executive summary: updated data centre electricity demand outlook</x:v>
      </x:c>
      <x:c r="E6" s="1"/>
      <x:c r="F6" s="1"/>
      <x:c r="G6" s="1"/>
      <x:c r="H6" s="1"/>
      <x:c r="I6" s="1"/>
      <x:c r="J6" s="1"/>
    </x:row>
    <x:row r="7" ht="62" customHeight="1">
      <x:c r="A7" s="1" t="str">
        <x:v>CGWB25</x:v>
      </x:c>
      <x:c r="B7" s="1" t="str">
        <x:v>Ministry of Jal Shakti / PIB</x:v>
      </x:c>
      <x:c r="C7" s="7" t="str">
        <x:v>https://www.pib.gov.in/PressReleasePage.aspx?PRID=2206073&amp;lang=1&amp;reg=3</x:v>
      </x:c>
      <x:c r="D7" s="7" t="str">
        <x:v>Annexure I: State-wise ground water resources of India, 2025</x:v>
      </x:c>
      <x:c r="E7" s="1"/>
      <x:c r="F7" s="1"/>
      <x:c r="G7" s="1"/>
      <x:c r="H7" s="1"/>
      <x:c r="I7" s="1"/>
      <x:c r="J7" s="1"/>
    </x:row>
    <x:row r="8" ht="62" customHeight="1">
      <x:c r="A8" s="1" t="str">
        <x:v>GOOGLE25</x:v>
      </x:c>
      <x:c r="B8" s="1" t="str">
        <x:v>Elsworth et al. / Google</x:v>
      </x:c>
      <x:c r="C8" s="7" t="str">
        <x:v>https://arxiv.org/html/2508.15734v1</x:v>
      </x:c>
      <x:c r="D8" s="7" t="str">
        <x:v>Section 3.3 and Table 2; May 2025</x:v>
      </x:c>
      <x:c r="E8" s="1"/>
      <x:c r="F8" s="1"/>
      <x:c r="G8" s="1"/>
      <x:c r="H8" s="1"/>
      <x:c r="I8" s="1"/>
      <x:c r="J8" s="1"/>
    </x:row>
    <x:row r="9" ht="62" customHeight="1">
      <x:c r="A9" s="1" t="str">
        <x:v>WRI23</x:v>
      </x:c>
      <x:c r="B9" s="1" t="str">
        <x:v>World Resources Institute</x:v>
      </x:c>
      <x:c r="C9" s="7" t="str">
        <x:v>https://www.wri.org/research/aqueduct-40-updated-decision-relevant-global-water-risk-indicators</x:v>
      </x:c>
      <x:c r="D9" s="7" t="str">
        <x:v>Technical note: screening limits and future periods</x:v>
      </x:c>
      <x:c r="E9" s="1"/>
      <x:c r="F9" s="1"/>
      <x:c r="G9" s="1"/>
      <x:c r="H9" s="1"/>
      <x:c r="I9" s="1"/>
      <x:c r="J9" s="1"/>
    </x:row>
    <x:row r="10" ht="62" customHeight="1">
      <x:c r="A10" s="1" t="str">
        <x:v>MS24</x:v>
      </x:c>
      <x:c r="B10" s="1" t="str">
        <x:v>Microsoft</x:v>
      </x:c>
      <x:c r="C10" s="7" t="str">
        <x:v>https://www.microsoft.com/en-us/microsoft-cloud/blog/2024/12/09/sustainable-by-design-next-generation-datacenters-consume-zero-water-for-cooling/</x:v>
      </x:c>
      <x:c r="D10" s="7" t="str">
        <x:v>Mitigating energy impacts; footnote FY2024 withdrawal WUE</x:v>
      </x:c>
      <x:c r="E10" s="1"/>
      <x:c r="F10" s="1"/>
      <x:c r="G10" s="1"/>
      <x:c r="H10" s="1"/>
      <x:c r="I10" s="1"/>
      <x:c r="J10" s="1"/>
    </x:row>
    <x:row r="11" ht="62" customHeight="1">
      <x:c r="A11" s="1" t="str">
        <x:v>LBNL26</x:v>
      </x:c>
      <x:c r="B11" s="1" t="str">
        <x:v>Lawrence Berkeley National Laboratory</x:v>
      </x:c>
      <x:c r="C11" s="7" t="str">
        <x:v>https://bies.lbl.gov/publications/united-states-data-center-energy-2025</x:v>
      </x:c>
      <x:c r="D11" s="7" t="str">
        <x:v>Publication abstract; June 2026; Reference Case</x:v>
      </x:c>
      <x:c r="E11" s="1"/>
      <x:c r="F11" s="1"/>
      <x:c r="G11" s="1"/>
      <x:c r="H11" s="1"/>
      <x:c r="I11" s="1"/>
      <x:c r="J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</x:sheetData>
  <x:pageMargins left="0.7" right="0.7" top="0.75" bottom="0.75" header="0.3" footer="0.3"/>
</x:worksheet>
</file>